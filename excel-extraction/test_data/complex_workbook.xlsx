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Quarterly P&amp;L" sheetId="3" state="visible" r:id="rId3"/>
    <sheet name="Dashboard" sheetId="4" state="visible" r:id="rId4"/>
    <sheet name="README" sheetId="5" state="visible" r:id="rId5"/>
  </sheets>
  <definedNames>
    <definedName name="Revenue">Sales!$F$2:$F$41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F4E78"/>
      <sz val="18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0" fillId="0" borderId="0" pivotButton="0" quotePrefix="0" xfId="0"/>
    <xf numFmtId="167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'Sales'!F1</f>
            </strRef>
          </tx>
          <spPr>
            <a:ln>
              <a:prstDash val="solid"/>
            </a:ln>
          </spPr>
          <cat>
            <numRef>
              <f>'Sales'!$B$2:$B$41</f>
            </numRef>
          </cat>
          <val>
            <numRef>
              <f>'Sales'!$F$2:$F$41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by SKU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'Inventory'!C1</f>
            </strRef>
          </tx>
          <spPr>
            <a:ln>
              <a:prstDash val="solid"/>
            </a:ln>
          </spPr>
          <cat>
            <numRef>
              <f>'Inventory'!$A$2:$A$12</f>
            </numRef>
          </cat>
          <val>
            <numRef>
              <f>'Inventory'!$C$2:$C$12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</a:t>
            </a:r>
          </a:p>
        </rich>
      </tx>
    </title>
    <plotArea>
      <pieChart>
        <varyColors val="1"/>
        <ser>
          <idx val="0"/>
          <order val="0"/>
          <tx>
            <strRef>
              <f>'Quarterly P&amp;L'!B2</f>
            </strRef>
          </tx>
          <spPr>
            <a:ln>
              <a:prstDash val="solid"/>
            </a:ln>
          </spPr>
          <cat>
            <numRef>
              <f>'Quarterly P&amp;L'!$A$2:$A$5</f>
            </numRef>
          </cat>
          <val>
            <numRef>
              <f>'Quarterly P&amp;L'!$B$3:$B$5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P&amp;L'!B1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'Quarterly P&amp;L'!$A$2:$A$5</f>
            </numRef>
          </cat>
          <val>
            <numRef>
              <f>'Quarterly P&amp;L'!$B$2:$B$5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Unit Price vs Units Sold</a:t>
            </a:r>
          </a:p>
        </rich>
      </tx>
    </title>
    <plotArea>
      <scatterChart>
        <ser>
          <idx val="0"/>
          <order val="0"/>
          <tx>
            <v>Sales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'Sales'!$E$2:$E$41</f>
            </numRef>
          </xVal>
          <yVal>
            <numRef>
              <f>'Sales'!$D$2:$D$41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Price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Inventory</a:t>
            </a:r>
          </a:p>
        </rich>
      </tx>
    </title>
    <plotArea>
      <areaChart>
        <grouping val="stacked"/>
        <ser>
          <idx val="0"/>
          <order val="0"/>
          <tx>
            <strRef>
              <f>'Inventory'!C1</f>
            </strRef>
          </tx>
          <spPr>
            <a:ln>
              <a:prstDash val="solid"/>
            </a:ln>
          </spPr>
          <cat>
            <numRef>
              <f>'Inventory'!$A$2:$A$12</f>
            </numRef>
          </cat>
          <val>
            <numRef>
              <f>'Inventory'!$C$2:$C$12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 SWE</author>
  </authors>
  <commentList>
    <comment ref="A14" authorId="0" shapeId="0">
      <text>
        <t>Auto-generated by create_test_xlsx.py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I41" headerRowCount="1">
  <autoFilter ref="A1:I41"/>
  <tableColumns count="9">
    <tableColumn id="1" name="Date"/>
    <tableColumn id="2" name="Region"/>
    <tableColumn id="3" name="Product"/>
    <tableColumn id="4" name="Units"/>
    <tableColumn id="5" name="Unit Price"/>
    <tableColumn id="6" name="Revenue"/>
    <tableColumn id="7" name="Cost"/>
    <tableColumn id="8" name="Profit"/>
    <tableColumn id="9" name="Margi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ales'!A1" TargetMode="External" Id="rId1" /><Relationship Type="http://schemas.openxmlformats.org/officeDocument/2006/relationships/hyperlink" Target="#'Inventory'!A1" TargetMode="External" Id="rId2" /><Relationship Type="http://schemas.openxmlformats.org/officeDocument/2006/relationships/hyperlink" Target="#'Quarterly P&amp;L'!A1" TargetMode="External" Id="rId3" /><Relationship Type="http://schemas.openxmlformats.org/officeDocument/2006/relationships/drawing" Target="/xl/drawings/drawing4.xm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 %</t>
        </is>
      </c>
    </row>
    <row r="2">
      <c r="A2" s="2" t="n">
        <v>45292</v>
      </c>
      <c r="B2" t="inlineStr">
        <is>
          <t>North</t>
        </is>
      </c>
      <c r="C2" t="inlineStr">
        <is>
          <t>Widget</t>
        </is>
      </c>
      <c r="D2" t="n">
        <v>5</v>
      </c>
      <c r="E2" s="3" t="n">
        <v>12.5</v>
      </c>
      <c r="F2" s="3">
        <f>D2*E2</f>
        <v/>
      </c>
      <c r="G2" s="3">
        <f>D2*7.0</f>
        <v/>
      </c>
      <c r="H2" s="3">
        <f>F2-G2</f>
        <v/>
      </c>
      <c r="I2" s="4">
        <f>IF(F2=0,0,H2/F2)</f>
        <v/>
      </c>
    </row>
    <row r="3">
      <c r="A3" s="2" t="n">
        <v>45295</v>
      </c>
      <c r="B3" t="inlineStr">
        <is>
          <t>South</t>
        </is>
      </c>
      <c r="C3" t="inlineStr">
        <is>
          <t>Gadget</t>
        </is>
      </c>
      <c r="D3" t="n">
        <v>8</v>
      </c>
      <c r="E3" s="3" t="n">
        <v>25</v>
      </c>
      <c r="F3" s="3">
        <f>D3*E3</f>
        <v/>
      </c>
      <c r="G3" s="3">
        <f>D3*14.0</f>
        <v/>
      </c>
      <c r="H3" s="3">
        <f>F3-G3</f>
        <v/>
      </c>
      <c r="I3" s="4">
        <f>IF(F3=0,0,H3/F3)</f>
        <v/>
      </c>
    </row>
    <row r="4">
      <c r="A4" s="2" t="n">
        <v>45298</v>
      </c>
      <c r="B4" t="inlineStr">
        <is>
          <t>East</t>
        </is>
      </c>
      <c r="C4" t="inlineStr">
        <is>
          <t>Sprocket</t>
        </is>
      </c>
      <c r="D4" t="n">
        <v>11</v>
      </c>
      <c r="E4" s="3" t="n">
        <v>4</v>
      </c>
      <c r="F4" s="3">
        <f>D4*E4</f>
        <v/>
      </c>
      <c r="G4" s="3">
        <f>D4*2.5</f>
        <v/>
      </c>
      <c r="H4" s="3">
        <f>F4-G4</f>
        <v/>
      </c>
      <c r="I4" s="4">
        <f>IF(F4=0,0,H4/F4)</f>
        <v/>
      </c>
    </row>
    <row r="5">
      <c r="A5" s="2" t="n">
        <v>45301</v>
      </c>
      <c r="B5" t="inlineStr">
        <is>
          <t>West</t>
        </is>
      </c>
      <c r="C5" t="inlineStr">
        <is>
          <t>Cog</t>
        </is>
      </c>
      <c r="D5" t="n">
        <v>14</v>
      </c>
      <c r="E5" s="3" t="n">
        <v>1.5</v>
      </c>
      <c r="F5" s="3">
        <f>D5*E5</f>
        <v/>
      </c>
      <c r="G5" s="3">
        <f>D5*0.8</f>
        <v/>
      </c>
      <c r="H5" s="3">
        <f>F5-G5</f>
        <v/>
      </c>
      <c r="I5" s="4">
        <f>IF(F5=0,0,H5/F5)</f>
        <v/>
      </c>
    </row>
    <row r="6">
      <c r="A6" s="2" t="n">
        <v>45304</v>
      </c>
      <c r="B6" t="inlineStr">
        <is>
          <t>North</t>
        </is>
      </c>
      <c r="C6" t="inlineStr">
        <is>
          <t>Widget</t>
        </is>
      </c>
      <c r="D6" t="n">
        <v>17</v>
      </c>
      <c r="E6" s="3" t="n">
        <v>12.5</v>
      </c>
      <c r="F6" s="3">
        <f>D6*E6</f>
        <v/>
      </c>
      <c r="G6" s="3">
        <f>D6*7.0</f>
        <v/>
      </c>
      <c r="H6" s="3">
        <f>F6-G6</f>
        <v/>
      </c>
      <c r="I6" s="4">
        <f>IF(F6=0,0,H6/F6)</f>
        <v/>
      </c>
    </row>
    <row r="7">
      <c r="A7" s="2" t="n">
        <v>45307</v>
      </c>
      <c r="B7" t="inlineStr">
        <is>
          <t>South</t>
        </is>
      </c>
      <c r="C7" t="inlineStr">
        <is>
          <t>Gadget</t>
        </is>
      </c>
      <c r="D7" t="n">
        <v>20</v>
      </c>
      <c r="E7" s="3" t="n">
        <v>25</v>
      </c>
      <c r="F7" s="3">
        <f>D7*E7</f>
        <v/>
      </c>
      <c r="G7" s="3">
        <f>D7*14.0</f>
        <v/>
      </c>
      <c r="H7" s="3">
        <f>F7-G7</f>
        <v/>
      </c>
      <c r="I7" s="4">
        <f>IF(F7=0,0,H7/F7)</f>
        <v/>
      </c>
    </row>
    <row r="8">
      <c r="A8" s="2" t="n">
        <v>45310</v>
      </c>
      <c r="B8" t="inlineStr">
        <is>
          <t>East</t>
        </is>
      </c>
      <c r="C8" t="inlineStr">
        <is>
          <t>Sprocket</t>
        </is>
      </c>
      <c r="D8" t="n">
        <v>23</v>
      </c>
      <c r="E8" s="3" t="n">
        <v>4</v>
      </c>
      <c r="F8" s="3">
        <f>D8*E8</f>
        <v/>
      </c>
      <c r="G8" s="3">
        <f>D8*2.5</f>
        <v/>
      </c>
      <c r="H8" s="3">
        <f>F8-G8</f>
        <v/>
      </c>
      <c r="I8" s="4">
        <f>IF(F8=0,0,H8/F8)</f>
        <v/>
      </c>
    </row>
    <row r="9">
      <c r="A9" s="2" t="n">
        <v>45313</v>
      </c>
      <c r="B9" t="inlineStr">
        <is>
          <t>West</t>
        </is>
      </c>
      <c r="C9" t="inlineStr">
        <is>
          <t>Cog</t>
        </is>
      </c>
      <c r="D9" t="n">
        <v>26</v>
      </c>
      <c r="E9" s="3" t="n">
        <v>1.5</v>
      </c>
      <c r="F9" s="3">
        <f>D9*E9</f>
        <v/>
      </c>
      <c r="G9" s="3">
        <f>D9*0.8</f>
        <v/>
      </c>
      <c r="H9" s="3">
        <f>F9-G9</f>
        <v/>
      </c>
      <c r="I9" s="4">
        <f>IF(F9=0,0,H9/F9)</f>
        <v/>
      </c>
    </row>
    <row r="10">
      <c r="A10" s="2" t="n">
        <v>45316</v>
      </c>
      <c r="B10" t="inlineStr">
        <is>
          <t>North</t>
        </is>
      </c>
      <c r="C10" t="inlineStr">
        <is>
          <t>Widget</t>
        </is>
      </c>
      <c r="D10" t="n">
        <v>29</v>
      </c>
      <c r="E10" s="3" t="n">
        <v>12.5</v>
      </c>
      <c r="F10" s="3">
        <f>D10*E10</f>
        <v/>
      </c>
      <c r="G10" s="3">
        <f>D10*7.0</f>
        <v/>
      </c>
      <c r="H10" s="3">
        <f>F10-G10</f>
        <v/>
      </c>
      <c r="I10" s="4">
        <f>IF(F10=0,0,H10/F10)</f>
        <v/>
      </c>
    </row>
    <row r="11">
      <c r="A11" s="2" t="n">
        <v>45319</v>
      </c>
      <c r="B11" t="inlineStr">
        <is>
          <t>South</t>
        </is>
      </c>
      <c r="C11" t="inlineStr">
        <is>
          <t>Gadget</t>
        </is>
      </c>
      <c r="D11" t="n">
        <v>32</v>
      </c>
      <c r="E11" s="3" t="n">
        <v>25</v>
      </c>
      <c r="F11" s="3">
        <f>D11*E11</f>
        <v/>
      </c>
      <c r="G11" s="3">
        <f>D11*14.0</f>
        <v/>
      </c>
      <c r="H11" s="3">
        <f>F11-G11</f>
        <v/>
      </c>
      <c r="I11" s="4">
        <f>IF(F11=0,0,H11/F11)</f>
        <v/>
      </c>
    </row>
    <row r="12">
      <c r="A12" s="2" t="n">
        <v>45322</v>
      </c>
      <c r="B12" t="inlineStr">
        <is>
          <t>East</t>
        </is>
      </c>
      <c r="C12" t="inlineStr">
        <is>
          <t>Sprocket</t>
        </is>
      </c>
      <c r="D12" t="n">
        <v>35</v>
      </c>
      <c r="E12" s="3" t="n">
        <v>4</v>
      </c>
      <c r="F12" s="3">
        <f>D12*E12</f>
        <v/>
      </c>
      <c r="G12" s="3">
        <f>D12*2.5</f>
        <v/>
      </c>
      <c r="H12" s="3">
        <f>F12-G12</f>
        <v/>
      </c>
      <c r="I12" s="4">
        <f>IF(F12=0,0,H12/F12)</f>
        <v/>
      </c>
    </row>
    <row r="13">
      <c r="A13" s="2" t="n">
        <v>45325</v>
      </c>
      <c r="B13" t="inlineStr">
        <is>
          <t>West</t>
        </is>
      </c>
      <c r="C13" t="inlineStr">
        <is>
          <t>Cog</t>
        </is>
      </c>
      <c r="D13" t="n">
        <v>38</v>
      </c>
      <c r="E13" s="3" t="n">
        <v>1.5</v>
      </c>
      <c r="F13" s="3">
        <f>D13*E13</f>
        <v/>
      </c>
      <c r="G13" s="3">
        <f>D13*0.8</f>
        <v/>
      </c>
      <c r="H13" s="3">
        <f>F13-G13</f>
        <v/>
      </c>
      <c r="I13" s="4">
        <f>IF(F13=0,0,H13/F13)</f>
        <v/>
      </c>
    </row>
    <row r="14">
      <c r="A14" s="2" t="n">
        <v>45328</v>
      </c>
      <c r="B14" t="inlineStr">
        <is>
          <t>North</t>
        </is>
      </c>
      <c r="C14" t="inlineStr">
        <is>
          <t>Widget</t>
        </is>
      </c>
      <c r="D14" t="n">
        <v>41</v>
      </c>
      <c r="E14" s="3" t="n">
        <v>12.5</v>
      </c>
      <c r="F14" s="3">
        <f>D14*E14</f>
        <v/>
      </c>
      <c r="G14" s="3">
        <f>D14*7.0</f>
        <v/>
      </c>
      <c r="H14" s="3">
        <f>F14-G14</f>
        <v/>
      </c>
      <c r="I14" s="4">
        <f>IF(F14=0,0,H14/F14)</f>
        <v/>
      </c>
    </row>
    <row r="15">
      <c r="A15" s="2" t="n">
        <v>45331</v>
      </c>
      <c r="B15" t="inlineStr">
        <is>
          <t>South</t>
        </is>
      </c>
      <c r="C15" t="inlineStr">
        <is>
          <t>Gadget</t>
        </is>
      </c>
      <c r="D15" t="n">
        <v>44</v>
      </c>
      <c r="E15" s="3" t="n">
        <v>25</v>
      </c>
      <c r="F15" s="3">
        <f>D15*E15</f>
        <v/>
      </c>
      <c r="G15" s="3">
        <f>D15*14.0</f>
        <v/>
      </c>
      <c r="H15" s="3">
        <f>F15-G15</f>
        <v/>
      </c>
      <c r="I15" s="4">
        <f>IF(F15=0,0,H15/F15)</f>
        <v/>
      </c>
    </row>
    <row r="16">
      <c r="A16" s="2" t="n">
        <v>45334</v>
      </c>
      <c r="B16" t="inlineStr">
        <is>
          <t>East</t>
        </is>
      </c>
      <c r="C16" t="inlineStr">
        <is>
          <t>Sprocket</t>
        </is>
      </c>
      <c r="D16" t="n">
        <v>47</v>
      </c>
      <c r="E16" s="3" t="n">
        <v>4</v>
      </c>
      <c r="F16" s="3">
        <f>D16*E16</f>
        <v/>
      </c>
      <c r="G16" s="3">
        <f>D16*2.5</f>
        <v/>
      </c>
      <c r="H16" s="3">
        <f>F16-G16</f>
        <v/>
      </c>
      <c r="I16" s="4">
        <f>IF(F16=0,0,H16/F16)</f>
        <v/>
      </c>
    </row>
    <row r="17">
      <c r="A17" s="2" t="n">
        <v>45337</v>
      </c>
      <c r="B17" t="inlineStr">
        <is>
          <t>West</t>
        </is>
      </c>
      <c r="C17" t="inlineStr">
        <is>
          <t>Cog</t>
        </is>
      </c>
      <c r="D17" t="n">
        <v>50</v>
      </c>
      <c r="E17" s="3" t="n">
        <v>1.5</v>
      </c>
      <c r="F17" s="3">
        <f>D17*E17</f>
        <v/>
      </c>
      <c r="G17" s="3">
        <f>D17*0.8</f>
        <v/>
      </c>
      <c r="H17" s="3">
        <f>F17-G17</f>
        <v/>
      </c>
      <c r="I17" s="4">
        <f>IF(F17=0,0,H17/F17)</f>
        <v/>
      </c>
    </row>
    <row r="18">
      <c r="A18" s="2" t="n">
        <v>45340</v>
      </c>
      <c r="B18" t="inlineStr">
        <is>
          <t>North</t>
        </is>
      </c>
      <c r="C18" t="inlineStr">
        <is>
          <t>Widget</t>
        </is>
      </c>
      <c r="D18" t="n">
        <v>6</v>
      </c>
      <c r="E18" s="3" t="n">
        <v>12.5</v>
      </c>
      <c r="F18" s="3">
        <f>D18*E18</f>
        <v/>
      </c>
      <c r="G18" s="3">
        <f>D18*7.0</f>
        <v/>
      </c>
      <c r="H18" s="3">
        <f>F18-G18</f>
        <v/>
      </c>
      <c r="I18" s="4">
        <f>IF(F18=0,0,H18/F18)</f>
        <v/>
      </c>
    </row>
    <row r="19">
      <c r="A19" s="2" t="n">
        <v>45343</v>
      </c>
      <c r="B19" t="inlineStr">
        <is>
          <t>South</t>
        </is>
      </c>
      <c r="C19" t="inlineStr">
        <is>
          <t>Gadget</t>
        </is>
      </c>
      <c r="D19" t="n">
        <v>9</v>
      </c>
      <c r="E19" s="3" t="n">
        <v>25</v>
      </c>
      <c r="F19" s="3">
        <f>D19*E19</f>
        <v/>
      </c>
      <c r="G19" s="3">
        <f>D19*14.0</f>
        <v/>
      </c>
      <c r="H19" s="3">
        <f>F19-G19</f>
        <v/>
      </c>
      <c r="I19" s="4">
        <f>IF(F19=0,0,H19/F19)</f>
        <v/>
      </c>
    </row>
    <row r="20">
      <c r="A20" s="2" t="n">
        <v>45346</v>
      </c>
      <c r="B20" t="inlineStr">
        <is>
          <t>East</t>
        </is>
      </c>
      <c r="C20" t="inlineStr">
        <is>
          <t>Sprocket</t>
        </is>
      </c>
      <c r="D20" t="n">
        <v>12</v>
      </c>
      <c r="E20" s="3" t="n">
        <v>4</v>
      </c>
      <c r="F20" s="3">
        <f>D20*E20</f>
        <v/>
      </c>
      <c r="G20" s="3">
        <f>D20*2.5</f>
        <v/>
      </c>
      <c r="H20" s="3">
        <f>F20-G20</f>
        <v/>
      </c>
      <c r="I20" s="4">
        <f>IF(F20=0,0,H20/F20)</f>
        <v/>
      </c>
    </row>
    <row r="21">
      <c r="A21" s="2" t="n">
        <v>45349</v>
      </c>
      <c r="B21" t="inlineStr">
        <is>
          <t>West</t>
        </is>
      </c>
      <c r="C21" t="inlineStr">
        <is>
          <t>Cog</t>
        </is>
      </c>
      <c r="D21" t="n">
        <v>15</v>
      </c>
      <c r="E21" s="3" t="n">
        <v>1.5</v>
      </c>
      <c r="F21" s="3">
        <f>D21*E21</f>
        <v/>
      </c>
      <c r="G21" s="3">
        <f>D21*0.8</f>
        <v/>
      </c>
      <c r="H21" s="3">
        <f>F21-G21</f>
        <v/>
      </c>
      <c r="I21" s="4">
        <f>IF(F21=0,0,H21/F21)</f>
        <v/>
      </c>
    </row>
    <row r="22">
      <c r="A22" s="2" t="n">
        <v>45352</v>
      </c>
      <c r="B22" t="inlineStr">
        <is>
          <t>North</t>
        </is>
      </c>
      <c r="C22" t="inlineStr">
        <is>
          <t>Widget</t>
        </is>
      </c>
      <c r="D22" t="n">
        <v>18</v>
      </c>
      <c r="E22" s="3" t="n">
        <v>12.5</v>
      </c>
      <c r="F22" s="3">
        <f>D22*E22</f>
        <v/>
      </c>
      <c r="G22" s="3">
        <f>D22*7.0</f>
        <v/>
      </c>
      <c r="H22" s="3">
        <f>F22-G22</f>
        <v/>
      </c>
      <c r="I22" s="4">
        <f>IF(F22=0,0,H22/F22)</f>
        <v/>
      </c>
    </row>
    <row r="23">
      <c r="A23" s="2" t="n">
        <v>45355</v>
      </c>
      <c r="B23" t="inlineStr">
        <is>
          <t>South</t>
        </is>
      </c>
      <c r="C23" t="inlineStr">
        <is>
          <t>Gadget</t>
        </is>
      </c>
      <c r="D23" t="n">
        <v>21</v>
      </c>
      <c r="E23" s="3" t="n">
        <v>25</v>
      </c>
      <c r="F23" s="3">
        <f>D23*E23</f>
        <v/>
      </c>
      <c r="G23" s="3">
        <f>D23*14.0</f>
        <v/>
      </c>
      <c r="H23" s="3">
        <f>F23-G23</f>
        <v/>
      </c>
      <c r="I23" s="4">
        <f>IF(F23=0,0,H23/F23)</f>
        <v/>
      </c>
    </row>
    <row r="24">
      <c r="A24" s="2" t="n">
        <v>45358</v>
      </c>
      <c r="B24" t="inlineStr">
        <is>
          <t>East</t>
        </is>
      </c>
      <c r="C24" t="inlineStr">
        <is>
          <t>Sprocket</t>
        </is>
      </c>
      <c r="D24" t="n">
        <v>24</v>
      </c>
      <c r="E24" s="3" t="n">
        <v>4</v>
      </c>
      <c r="F24" s="3">
        <f>D24*E24</f>
        <v/>
      </c>
      <c r="G24" s="3">
        <f>D24*2.5</f>
        <v/>
      </c>
      <c r="H24" s="3">
        <f>F24-G24</f>
        <v/>
      </c>
      <c r="I24" s="4">
        <f>IF(F24=0,0,H24/F24)</f>
        <v/>
      </c>
    </row>
    <row r="25">
      <c r="A25" s="2" t="n">
        <v>45361</v>
      </c>
      <c r="B25" t="inlineStr">
        <is>
          <t>West</t>
        </is>
      </c>
      <c r="C25" t="inlineStr">
        <is>
          <t>Cog</t>
        </is>
      </c>
      <c r="D25" t="n">
        <v>27</v>
      </c>
      <c r="E25" s="3" t="n">
        <v>1.5</v>
      </c>
      <c r="F25" s="3">
        <f>D25*E25</f>
        <v/>
      </c>
      <c r="G25" s="3">
        <f>D25*0.8</f>
        <v/>
      </c>
      <c r="H25" s="3">
        <f>F25-G25</f>
        <v/>
      </c>
      <c r="I25" s="4">
        <f>IF(F25=0,0,H25/F25)</f>
        <v/>
      </c>
    </row>
    <row r="26">
      <c r="A26" s="2" t="n">
        <v>45364</v>
      </c>
      <c r="B26" t="inlineStr">
        <is>
          <t>North</t>
        </is>
      </c>
      <c r="C26" t="inlineStr">
        <is>
          <t>Widget</t>
        </is>
      </c>
      <c r="D26" t="n">
        <v>30</v>
      </c>
      <c r="E26" s="3" t="n">
        <v>12.5</v>
      </c>
      <c r="F26" s="3">
        <f>D26*E26</f>
        <v/>
      </c>
      <c r="G26" s="3">
        <f>D26*7.0</f>
        <v/>
      </c>
      <c r="H26" s="3">
        <f>F26-G26</f>
        <v/>
      </c>
      <c r="I26" s="4">
        <f>IF(F26=0,0,H26/F26)</f>
        <v/>
      </c>
    </row>
    <row r="27">
      <c r="A27" s="2" t="n">
        <v>45367</v>
      </c>
      <c r="B27" t="inlineStr">
        <is>
          <t>South</t>
        </is>
      </c>
      <c r="C27" t="inlineStr">
        <is>
          <t>Gadget</t>
        </is>
      </c>
      <c r="D27" t="n">
        <v>33</v>
      </c>
      <c r="E27" s="3" t="n">
        <v>25</v>
      </c>
      <c r="F27" s="3">
        <f>D27*E27</f>
        <v/>
      </c>
      <c r="G27" s="3">
        <f>D27*14.0</f>
        <v/>
      </c>
      <c r="H27" s="3">
        <f>F27-G27</f>
        <v/>
      </c>
      <c r="I27" s="4">
        <f>IF(F27=0,0,H27/F27)</f>
        <v/>
      </c>
    </row>
    <row r="28">
      <c r="A28" s="2" t="n">
        <v>45370</v>
      </c>
      <c r="B28" t="inlineStr">
        <is>
          <t>East</t>
        </is>
      </c>
      <c r="C28" t="inlineStr">
        <is>
          <t>Sprocket</t>
        </is>
      </c>
      <c r="D28" t="n">
        <v>36</v>
      </c>
      <c r="E28" s="3" t="n">
        <v>4</v>
      </c>
      <c r="F28" s="3">
        <f>D28*E28</f>
        <v/>
      </c>
      <c r="G28" s="3">
        <f>D28*2.5</f>
        <v/>
      </c>
      <c r="H28" s="3">
        <f>F28-G28</f>
        <v/>
      </c>
      <c r="I28" s="4">
        <f>IF(F28=0,0,H28/F28)</f>
        <v/>
      </c>
    </row>
    <row r="29">
      <c r="A29" s="2" t="n">
        <v>45373</v>
      </c>
      <c r="B29" t="inlineStr">
        <is>
          <t>West</t>
        </is>
      </c>
      <c r="C29" t="inlineStr">
        <is>
          <t>Cog</t>
        </is>
      </c>
      <c r="D29" t="n">
        <v>39</v>
      </c>
      <c r="E29" s="3" t="n">
        <v>1.5</v>
      </c>
      <c r="F29" s="3">
        <f>D29*E29</f>
        <v/>
      </c>
      <c r="G29" s="3">
        <f>D29*0.8</f>
        <v/>
      </c>
      <c r="H29" s="3">
        <f>F29-G29</f>
        <v/>
      </c>
      <c r="I29" s="4">
        <f>IF(F29=0,0,H29/F29)</f>
        <v/>
      </c>
    </row>
    <row r="30">
      <c r="A30" s="2" t="n">
        <v>45376</v>
      </c>
      <c r="B30" t="inlineStr">
        <is>
          <t>North</t>
        </is>
      </c>
      <c r="C30" t="inlineStr">
        <is>
          <t>Widget</t>
        </is>
      </c>
      <c r="D30" t="n">
        <v>42</v>
      </c>
      <c r="E30" s="3" t="n">
        <v>12.5</v>
      </c>
      <c r="F30" s="3">
        <f>D30*E30</f>
        <v/>
      </c>
      <c r="G30" s="3">
        <f>D30*7.0</f>
        <v/>
      </c>
      <c r="H30" s="3">
        <f>F30-G30</f>
        <v/>
      </c>
      <c r="I30" s="4">
        <f>IF(F30=0,0,H30/F30)</f>
        <v/>
      </c>
    </row>
    <row r="31">
      <c r="A31" s="2" t="n">
        <v>45379</v>
      </c>
      <c r="B31" t="inlineStr">
        <is>
          <t>South</t>
        </is>
      </c>
      <c r="C31" t="inlineStr">
        <is>
          <t>Gadget</t>
        </is>
      </c>
      <c r="D31" t="n">
        <v>45</v>
      </c>
      <c r="E31" s="3" t="n">
        <v>25</v>
      </c>
      <c r="F31" s="3">
        <f>D31*E31</f>
        <v/>
      </c>
      <c r="G31" s="3">
        <f>D31*14.0</f>
        <v/>
      </c>
      <c r="H31" s="3">
        <f>F31-G31</f>
        <v/>
      </c>
      <c r="I31" s="4">
        <f>IF(F31=0,0,H31/F31)</f>
        <v/>
      </c>
    </row>
    <row r="32">
      <c r="A32" s="2" t="n">
        <v>45382</v>
      </c>
      <c r="B32" t="inlineStr">
        <is>
          <t>East</t>
        </is>
      </c>
      <c r="C32" t="inlineStr">
        <is>
          <t>Sprocket</t>
        </is>
      </c>
      <c r="D32" t="n">
        <v>48</v>
      </c>
      <c r="E32" s="3" t="n">
        <v>4</v>
      </c>
      <c r="F32" s="3">
        <f>D32*E32</f>
        <v/>
      </c>
      <c r="G32" s="3">
        <f>D32*2.5</f>
        <v/>
      </c>
      <c r="H32" s="3">
        <f>F32-G32</f>
        <v/>
      </c>
      <c r="I32" s="4">
        <f>IF(F32=0,0,H32/F32)</f>
        <v/>
      </c>
    </row>
    <row r="33">
      <c r="A33" s="2" t="n">
        <v>45385</v>
      </c>
      <c r="B33" t="inlineStr">
        <is>
          <t>West</t>
        </is>
      </c>
      <c r="C33" t="inlineStr">
        <is>
          <t>Cog</t>
        </is>
      </c>
      <c r="D33" t="n">
        <v>51</v>
      </c>
      <c r="E33" s="3" t="n">
        <v>1.5</v>
      </c>
      <c r="F33" s="3">
        <f>D33*E33</f>
        <v/>
      </c>
      <c r="G33" s="3">
        <f>D33*0.8</f>
        <v/>
      </c>
      <c r="H33" s="3">
        <f>F33-G33</f>
        <v/>
      </c>
      <c r="I33" s="4">
        <f>IF(F33=0,0,H33/F33)</f>
        <v/>
      </c>
    </row>
    <row r="34">
      <c r="A34" s="2" t="n">
        <v>45388</v>
      </c>
      <c r="B34" t="inlineStr">
        <is>
          <t>North</t>
        </is>
      </c>
      <c r="C34" t="inlineStr">
        <is>
          <t>Widget</t>
        </is>
      </c>
      <c r="D34" t="n">
        <v>7</v>
      </c>
      <c r="E34" s="3" t="n">
        <v>12.5</v>
      </c>
      <c r="F34" s="3">
        <f>D34*E34</f>
        <v/>
      </c>
      <c r="G34" s="3">
        <f>D34*7.0</f>
        <v/>
      </c>
      <c r="H34" s="3">
        <f>F34-G34</f>
        <v/>
      </c>
      <c r="I34" s="4">
        <f>IF(F34=0,0,H34/F34)</f>
        <v/>
      </c>
    </row>
    <row r="35">
      <c r="A35" s="2" t="n">
        <v>45391</v>
      </c>
      <c r="B35" t="inlineStr">
        <is>
          <t>South</t>
        </is>
      </c>
      <c r="C35" t="inlineStr">
        <is>
          <t>Gadget</t>
        </is>
      </c>
      <c r="D35" t="n">
        <v>10</v>
      </c>
      <c r="E35" s="3" t="n">
        <v>25</v>
      </c>
      <c r="F35" s="3">
        <f>D35*E35</f>
        <v/>
      </c>
      <c r="G35" s="3">
        <f>D35*14.0</f>
        <v/>
      </c>
      <c r="H35" s="3">
        <f>F35-G35</f>
        <v/>
      </c>
      <c r="I35" s="4">
        <f>IF(F35=0,0,H35/F35)</f>
        <v/>
      </c>
    </row>
    <row r="36">
      <c r="A36" s="2" t="n">
        <v>45394</v>
      </c>
      <c r="B36" t="inlineStr">
        <is>
          <t>East</t>
        </is>
      </c>
      <c r="C36" t="inlineStr">
        <is>
          <t>Sprocket</t>
        </is>
      </c>
      <c r="D36" t="n">
        <v>13</v>
      </c>
      <c r="E36" s="3" t="n">
        <v>4</v>
      </c>
      <c r="F36" s="3">
        <f>D36*E36</f>
        <v/>
      </c>
      <c r="G36" s="3">
        <f>D36*2.5</f>
        <v/>
      </c>
      <c r="H36" s="3">
        <f>F36-G36</f>
        <v/>
      </c>
      <c r="I36" s="4">
        <f>IF(F36=0,0,H36/F36)</f>
        <v/>
      </c>
    </row>
    <row r="37">
      <c r="A37" s="2" t="n">
        <v>45397</v>
      </c>
      <c r="B37" t="inlineStr">
        <is>
          <t>West</t>
        </is>
      </c>
      <c r="C37" t="inlineStr">
        <is>
          <t>Cog</t>
        </is>
      </c>
      <c r="D37" t="n">
        <v>16</v>
      </c>
      <c r="E37" s="3" t="n">
        <v>1.5</v>
      </c>
      <c r="F37" s="3">
        <f>D37*E37</f>
        <v/>
      </c>
      <c r="G37" s="3">
        <f>D37*0.8</f>
        <v/>
      </c>
      <c r="H37" s="3">
        <f>F37-G37</f>
        <v/>
      </c>
      <c r="I37" s="4">
        <f>IF(F37=0,0,H37/F37)</f>
        <v/>
      </c>
    </row>
    <row r="38">
      <c r="A38" s="2" t="n">
        <v>45400</v>
      </c>
      <c r="B38" t="inlineStr">
        <is>
          <t>North</t>
        </is>
      </c>
      <c r="C38" t="inlineStr">
        <is>
          <t>Widget</t>
        </is>
      </c>
      <c r="D38" t="n">
        <v>19</v>
      </c>
      <c r="E38" s="3" t="n">
        <v>12.5</v>
      </c>
      <c r="F38" s="3">
        <f>D38*E38</f>
        <v/>
      </c>
      <c r="G38" s="3">
        <f>D38*7.0</f>
        <v/>
      </c>
      <c r="H38" s="3">
        <f>F38-G38</f>
        <v/>
      </c>
      <c r="I38" s="4">
        <f>IF(F38=0,0,H38/F38)</f>
        <v/>
      </c>
    </row>
    <row r="39">
      <c r="A39" s="2" t="n">
        <v>45403</v>
      </c>
      <c r="B39" t="inlineStr">
        <is>
          <t>South</t>
        </is>
      </c>
      <c r="C39" t="inlineStr">
        <is>
          <t>Gadget</t>
        </is>
      </c>
      <c r="D39" t="n">
        <v>22</v>
      </c>
      <c r="E39" s="3" t="n">
        <v>25</v>
      </c>
      <c r="F39" s="3">
        <f>D39*E39</f>
        <v/>
      </c>
      <c r="G39" s="3">
        <f>D39*14.0</f>
        <v/>
      </c>
      <c r="H39" s="3">
        <f>F39-G39</f>
        <v/>
      </c>
      <c r="I39" s="4">
        <f>IF(F39=0,0,H39/F39)</f>
        <v/>
      </c>
    </row>
    <row r="40">
      <c r="A40" s="2" t="n">
        <v>45406</v>
      </c>
      <c r="B40" t="inlineStr">
        <is>
          <t>East</t>
        </is>
      </c>
      <c r="C40" t="inlineStr">
        <is>
          <t>Sprocket</t>
        </is>
      </c>
      <c r="D40" t="n">
        <v>25</v>
      </c>
      <c r="E40" s="3" t="n">
        <v>4</v>
      </c>
      <c r="F40" s="3">
        <f>D40*E40</f>
        <v/>
      </c>
      <c r="G40" s="3">
        <f>D40*2.5</f>
        <v/>
      </c>
      <c r="H40" s="3">
        <f>F40-G40</f>
        <v/>
      </c>
      <c r="I40" s="4">
        <f>IF(F40=0,0,H40/F40)</f>
        <v/>
      </c>
    </row>
    <row r="41">
      <c r="A41" s="2" t="n">
        <v>45409</v>
      </c>
      <c r="B41" t="inlineStr">
        <is>
          <t>West</t>
        </is>
      </c>
      <c r="C41" t="inlineStr">
        <is>
          <t>Cog</t>
        </is>
      </c>
      <c r="D41" t="n">
        <v>28</v>
      </c>
      <c r="E41" s="3" t="n">
        <v>1.5</v>
      </c>
      <c r="F41" s="3">
        <f>D41*E41</f>
        <v/>
      </c>
      <c r="G41" s="3">
        <f>D41*0.8</f>
        <v/>
      </c>
      <c r="H41" s="3">
        <f>F41-G41</f>
        <v/>
      </c>
      <c r="I41" s="4">
        <f>IF(F41=0,0,H41/F41)</f>
        <v/>
      </c>
    </row>
    <row r="42">
      <c r="A42" t="inlineStr">
        <is>
          <t>Totals</t>
        </is>
      </c>
      <c r="F42" s="5">
        <f>SUM(F2:F41)</f>
        <v/>
      </c>
      <c r="G42" s="5">
        <f>SUM(G2:G41)</f>
        <v/>
      </c>
      <c r="H42" s="5">
        <f>SUM(H2:H41)</f>
        <v/>
      </c>
      <c r="I42" s="6">
        <f>IF(F42=0,0,H42/F42)</f>
        <v/>
      </c>
    </row>
  </sheetData>
  <mergeCells count="1">
    <mergeCell ref="A42:E4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5" max="5"/>
    <col width="22" customWidth="1" min="7" max="7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Stock</t>
        </is>
      </c>
      <c r="D1" s="1" t="inlineStr">
        <is>
          <t>Reorder?</t>
        </is>
      </c>
      <c r="E1" s="1" t="inlineStr">
        <is>
          <t>Last Restock</t>
        </is>
      </c>
      <c r="F1" s="1" t="inlineStr">
        <is>
          <t>Unit Cost</t>
        </is>
      </c>
      <c r="G1" s="1" t="inlineStr">
        <is>
          <t>Notes</t>
        </is>
      </c>
    </row>
    <row r="2">
      <c r="A2" t="inlineStr">
        <is>
          <t>A-001</t>
        </is>
      </c>
      <c r="B2" t="inlineStr">
        <is>
          <t>Bearing 6mm</t>
        </is>
      </c>
      <c r="C2" t="n">
        <v>320</v>
      </c>
      <c r="D2" t="b">
        <v>0</v>
      </c>
      <c r="E2" s="2" t="n">
        <v>45424</v>
      </c>
      <c r="F2" s="3" t="n">
        <v>1.2</v>
      </c>
      <c r="G2" t="inlineStr">
        <is>
          <t>high turnover</t>
        </is>
      </c>
    </row>
    <row r="3">
      <c r="A3" t="inlineStr">
        <is>
          <t>A-002</t>
        </is>
      </c>
      <c r="B3" t="inlineStr">
        <is>
          <t>Bearing 8mm</t>
        </is>
      </c>
      <c r="C3" t="n">
        <v>18</v>
      </c>
      <c r="D3" t="b">
        <v>1</v>
      </c>
      <c r="E3" s="2" t="n">
        <v>45323</v>
      </c>
      <c r="F3" s="3" t="n">
        <v>1.5</v>
      </c>
      <c r="G3" t="inlineStr">
        <is>
          <t>reorder now</t>
        </is>
      </c>
    </row>
    <row r="4">
      <c r="A4" t="inlineStr">
        <is>
          <t>A-003</t>
        </is>
      </c>
      <c r="B4" t="inlineStr">
        <is>
          <t>Hex bolt M4</t>
        </is>
      </c>
      <c r="C4" t="n">
        <v>1042</v>
      </c>
      <c r="D4" t="b">
        <v>0</v>
      </c>
      <c r="E4" s="2" t="n">
        <v>45461</v>
      </c>
      <c r="F4" s="3" t="n">
        <v>0.05</v>
      </c>
      <c r="G4" t="inlineStr">
        <is>
          <t>ok</t>
        </is>
      </c>
    </row>
    <row r="5">
      <c r="A5" t="inlineStr">
        <is>
          <t>A-004</t>
        </is>
      </c>
      <c r="B5" t="inlineStr">
        <is>
          <t>Hex bolt M6</t>
        </is>
      </c>
      <c r="C5" t="n">
        <v>0</v>
      </c>
      <c r="D5" t="b">
        <v>1</v>
      </c>
      <c r="E5" s="2" t="n">
        <v>45234</v>
      </c>
      <c r="F5" s="3" t="n">
        <v>0.09</v>
      </c>
      <c r="G5" t="inlineStr">
        <is>
          <t>out of stock</t>
        </is>
      </c>
    </row>
    <row r="6">
      <c r="A6" t="inlineStr">
        <is>
          <t>A-005</t>
        </is>
      </c>
      <c r="B6" t="inlineStr">
        <is>
          <t>Hex nut M6</t>
        </is>
      </c>
      <c r="C6" t="n">
        <v>540</v>
      </c>
      <c r="D6" t="b">
        <v>0</v>
      </c>
      <c r="E6" s="2" t="n">
        <v>45445</v>
      </c>
      <c r="F6" s="3" t="n">
        <v>0.04</v>
      </c>
      <c r="G6" t="inlineStr">
        <is>
          <t>ok</t>
        </is>
      </c>
    </row>
    <row r="7">
      <c r="A7" t="inlineStr">
        <is>
          <t>A-006</t>
        </is>
      </c>
      <c r="B7" t="inlineStr">
        <is>
          <t>Washer 6mm</t>
        </is>
      </c>
      <c r="C7" t="n">
        <v>75</v>
      </c>
      <c r="D7" t="b">
        <v>0</v>
      </c>
      <c r="E7" s="2" t="n">
        <v>45442</v>
      </c>
      <c r="F7" s="3" t="n">
        <v>0.02</v>
      </c>
      <c r="G7" t="inlineStr">
        <is>
          <t>watch</t>
        </is>
      </c>
    </row>
    <row r="8">
      <c r="A8" t="inlineStr">
        <is>
          <t>A-007</t>
        </is>
      </c>
      <c r="B8" t="inlineStr">
        <is>
          <t>Spring 12mm</t>
        </is>
      </c>
      <c r="C8" t="n">
        <v>3</v>
      </c>
      <c r="D8" t="b">
        <v>1</v>
      </c>
      <c r="E8" s="2" t="n">
        <v>45178</v>
      </c>
      <c r="F8" s="3" t="n">
        <v>0.85</v>
      </c>
      <c r="G8" t="inlineStr">
        <is>
          <t>reorder now</t>
        </is>
      </c>
    </row>
    <row r="9">
      <c r="A9" t="inlineStr">
        <is>
          <t>A-008</t>
        </is>
      </c>
      <c r="B9" t="inlineStr">
        <is>
          <t>Spring 18mm</t>
        </is>
      </c>
      <c r="C9" t="n">
        <v>220</v>
      </c>
      <c r="D9" t="b">
        <v>0</v>
      </c>
      <c r="E9" s="2" t="n">
        <v>45373</v>
      </c>
      <c r="F9" s="3" t="n">
        <v>1.1</v>
      </c>
      <c r="G9" t="inlineStr">
        <is>
          <t>ok</t>
        </is>
      </c>
    </row>
    <row r="10">
      <c r="A10" t="inlineStr">
        <is>
          <t>A-009</t>
        </is>
      </c>
      <c r="B10" t="inlineStr">
        <is>
          <t>O-ring 10mm</t>
        </is>
      </c>
      <c r="C10" t="n">
        <v>0</v>
      </c>
      <c r="D10" t="b">
        <v>1</v>
      </c>
      <c r="E10" s="2" t="n">
        <v>45261</v>
      </c>
      <c r="F10" s="3" t="n">
        <v>0.15</v>
      </c>
      <c r="G10" t="inlineStr">
        <is>
          <t>out of stock</t>
        </is>
      </c>
    </row>
    <row r="11">
      <c r="A11" t="inlineStr">
        <is>
          <t>A-010</t>
        </is>
      </c>
      <c r="B11" t="inlineStr">
        <is>
          <t>O-ring 20mm</t>
        </is>
      </c>
      <c r="C11" t="n">
        <v>410</v>
      </c>
      <c r="D11" t="b">
        <v>0</v>
      </c>
      <c r="E11" s="2" t="n">
        <v>45391</v>
      </c>
      <c r="F11" s="3" t="n">
        <v>0.25</v>
      </c>
      <c r="G11" t="inlineStr">
        <is>
          <t>ok</t>
        </is>
      </c>
    </row>
    <row r="12">
      <c r="A12" t="inlineStr">
        <is>
          <t>DIV0!</t>
        </is>
      </c>
      <c r="B12" t="inlineStr">
        <is>
          <t>#DIV/0! sample</t>
        </is>
      </c>
      <c r="C12" t="n">
        <v>12</v>
      </c>
      <c r="D12" t="b">
        <v>0</v>
      </c>
      <c r="E12" s="2" t="n">
        <v>45292</v>
      </c>
      <c r="F12" s="3" t="n">
        <v>0.1</v>
      </c>
      <c r="G12" t="inlineStr">
        <is>
          <t>intentional error</t>
        </is>
      </c>
    </row>
  </sheetData>
  <conditionalFormatting sqref="C2:C12">
    <cfRule type="cellIs" priority="1" operator="lessThan" dxfId="0" stopIfTrue="0">
      <formula>50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OpEx</t>
        </is>
      </c>
      <c r="F1" s="1" t="inlineStr">
        <is>
          <t>Net Income</t>
        </is>
      </c>
    </row>
    <row r="2">
      <c r="A2" t="inlineStr">
        <is>
          <t>Q1 2024</t>
        </is>
      </c>
      <c r="B2" s="7" t="n">
        <v>482300</v>
      </c>
      <c r="C2" s="7" t="n">
        <v>218900</v>
      </c>
      <c r="D2" s="7">
        <f>B2-C2</f>
        <v/>
      </c>
      <c r="E2" s="7">
        <f>B2*0.32</f>
        <v/>
      </c>
      <c r="F2" s="7">
        <f>D2-E2</f>
        <v/>
      </c>
    </row>
    <row r="3">
      <c r="A3" t="inlineStr">
        <is>
          <t>Q2 2024</t>
        </is>
      </c>
      <c r="B3" s="7" t="n">
        <v>555120</v>
      </c>
      <c r="C3" s="7" t="n">
        <v>244100</v>
      </c>
      <c r="D3" s="7">
        <f>B3-C3</f>
        <v/>
      </c>
      <c r="E3" s="7">
        <f>B3*0.32</f>
        <v/>
      </c>
      <c r="F3" s="7">
        <f>D3-E3</f>
        <v/>
      </c>
    </row>
    <row r="4">
      <c r="A4" t="inlineStr">
        <is>
          <t>Q3 2024</t>
        </is>
      </c>
      <c r="B4" s="7" t="n">
        <v>612450</v>
      </c>
      <c r="C4" s="7" t="n">
        <v>271800</v>
      </c>
      <c r="D4" s="7">
        <f>B4-C4</f>
        <v/>
      </c>
      <c r="E4" s="7">
        <f>B4*0.32</f>
        <v/>
      </c>
      <c r="F4" s="7">
        <f>D4-E4</f>
        <v/>
      </c>
    </row>
    <row r="5">
      <c r="A5" t="inlineStr">
        <is>
          <t>Q4 2024</t>
        </is>
      </c>
      <c r="B5" s="7" t="n">
        <v>701900</v>
      </c>
      <c r="C5" s="7" t="n">
        <v>309500</v>
      </c>
      <c r="D5" s="7">
        <f>B5-C5</f>
        <v/>
      </c>
      <c r="E5" s="7">
        <f>B5*0.32</f>
        <v/>
      </c>
      <c r="F5" s="7">
        <f>D5-E5</f>
        <v/>
      </c>
    </row>
    <row r="6">
      <c r="A6" t="inlineStr">
        <is>
          <t>Total</t>
        </is>
      </c>
      <c r="B6" s="8">
        <f>SUM(B2:B5)</f>
        <v/>
      </c>
      <c r="C6" s="8">
        <f>SUM(C2:C5)</f>
        <v/>
      </c>
      <c r="D6" s="8">
        <f>SUM(D2:D5)</f>
        <v/>
      </c>
      <c r="E6" s="8">
        <f>SUM(E2:E5)</f>
        <v/>
      </c>
      <c r="F6" s="8">
        <f>SUM(F2:F5)</f>
        <v/>
      </c>
    </row>
    <row r="8">
      <c r="A8" t="inlineStr">
        <is>
          <t>Sales total (cross-sheet):</t>
        </is>
      </c>
      <c r="B8" s="7">
        <f>'Sales'!F42</f>
        <v/>
      </c>
    </row>
    <row r="9">
      <c r="A9" t="inlineStr">
        <is>
          <t>Best quarter revenue:</t>
        </is>
      </c>
      <c r="B9" s="7">
        <f>MAX(B2:B5)</f>
        <v/>
      </c>
    </row>
    <row r="10">
      <c r="A10" t="inlineStr">
        <is>
          <t>SUMIF (revenue &gt; 500k):</t>
        </is>
      </c>
      <c r="B10" s="7">
        <f>SUMIF(B2:B5,"&gt;500000")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9" t="inlineStr">
        <is>
          <t>Operations Dashboard — 2024</t>
        </is>
      </c>
    </row>
    <row r="3">
      <c r="A3" s="10" t="inlineStr">
        <is>
          <t>Key Metrics</t>
        </is>
      </c>
      <c r="B3" s="11" t="n"/>
      <c r="D3" s="12" t="inlineStr">
        <is>
          <t>Scatter: Price vs Units</t>
        </is>
      </c>
      <c r="E3" s="13" t="n"/>
      <c r="F3" s="13" t="n"/>
      <c r="G3" s="13" t="n"/>
      <c r="H3" s="11" t="n"/>
    </row>
    <row r="4">
      <c r="A4" t="inlineStr">
        <is>
          <t>Total Revenue</t>
        </is>
      </c>
      <c r="B4" s="3">
        <f>SUM(Revenue)</f>
        <v/>
      </c>
    </row>
    <row r="5">
      <c r="A5" t="inlineStr">
        <is>
          <t>Total Units Sold</t>
        </is>
      </c>
      <c r="B5">
        <f>SUM('Sales'!D2:D41)</f>
        <v/>
      </c>
    </row>
    <row r="6">
      <c r="A6" t="inlineStr">
        <is>
          <t>Avg Margin</t>
        </is>
      </c>
      <c r="B6" s="4">
        <f>AVERAGE('Sales'!I2:I41)</f>
        <v/>
      </c>
    </row>
    <row r="7">
      <c r="A7" t="inlineStr">
        <is>
          <t>Items needing reorder</t>
        </is>
      </c>
      <c r="B7">
        <f>COUNTIF(Inventory!D2:D12,TRUE)</f>
        <v/>
      </c>
    </row>
    <row r="9">
      <c r="A9" s="10" t="inlineStr">
        <is>
          <t>Quick Links</t>
        </is>
      </c>
      <c r="B9" s="11" t="n"/>
    </row>
    <row r="10">
      <c r="A10" s="14" t="inlineStr">
        <is>
          <t>Sales sheet</t>
        </is>
      </c>
    </row>
    <row r="11">
      <c r="A11" s="14" t="inlineStr">
        <is>
          <t>Inventory sheet</t>
        </is>
      </c>
    </row>
    <row r="12">
      <c r="A12" s="14" t="inlineStr">
        <is>
          <t>Quarterly P&amp;L</t>
        </is>
      </c>
    </row>
    <row r="14">
      <c r="A14" t="inlineStr">
        <is>
          <t>Note: see dashboard for visualisations.</t>
        </is>
      </c>
    </row>
  </sheetData>
  <mergeCells count="4">
    <mergeCell ref="A9:B9"/>
    <mergeCell ref="A3:B3"/>
    <mergeCell ref="D3:H3"/>
    <mergeCell ref="A1:H1"/>
  </mergeCells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</hyperlinks>
  <pageMargins left="0.75" right="0.75" top="1" bottom="1" header="0.5" footer="0.5"/>
  <drawing xmlns:r="http://schemas.openxmlformats.org/officeDocument/2006/relationships" r:id="rId4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generated for benchmarking Excel extraction libraries.</t>
        </is>
      </c>
    </row>
    <row r="2">
      <c r="A2" t="inlineStr">
        <is>
          <t>It contains: Sales, Inventory, Quarterly P&amp;L, Dashboard, and this README.</t>
        </is>
      </c>
    </row>
    <row r="3">
      <c r="A3" t="inlineStr">
        <is>
          <t>Charts: bar, line, pie, scatter, area.</t>
        </is>
      </c>
    </row>
    <row r="4">
      <c r="A4" t="inlineStr">
        <is>
          <t>Features: formulas, merged cells, conditional formatting, hyperlinks, comments, tables, named ranges, frozen panes, dates, booleans,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2026-07-19T11:07:53Z</dcterms:created>
  <dcterms:modified xsi:type="dcterms:W3CDTF">2026-07-19T11:07:53Z</dcterms:modified>
</cp:coreProperties>
</file>